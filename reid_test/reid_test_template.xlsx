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tzer\Desktop\"/>
    </mc:Choice>
  </mc:AlternateContent>
  <xr:revisionPtr revIDLastSave="0" documentId="13_ncr:1_{8BC9C86C-9459-4FA5-80EB-7FAAD4C9EB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ersuche" sheetId="1" r:id="rId1"/>
    <sheet name="Auswert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<sst xmlns="http://schemas.openxmlformats.org/spreadsheetml/2006/main" count="41" uniqueCount="19">
  <si>
    <t>Occlusion_Dauer_s</t>
  </si>
  <si>
    <t>Gleiche_ID_Ja_Nein</t>
  </si>
  <si>
    <t>ID_Switch_Ja_Nein</t>
  </si>
  <si>
    <t>Bemerkung</t>
  </si>
  <si>
    <t>Kennzahl</t>
  </si>
  <si>
    <t>Wert</t>
  </si>
  <si>
    <t>Fehlversuche</t>
  </si>
  <si>
    <t>Kurzes Verschwinden am Bildrand</t>
  </si>
  <si>
    <t>Tracker_ID_vor_Okklusion</t>
  </si>
  <si>
    <t>Abdecken der Kamera</t>
  </si>
  <si>
    <t>Tracker_ID_nach_Okklussion</t>
  </si>
  <si>
    <t>Out_of_frame_Dauer_s</t>
  </si>
  <si>
    <t>Tracker_ID_vor_Out_of_frame</t>
  </si>
  <si>
    <t>Tracker_ID_nach_Out_of_frame</t>
  </si>
  <si>
    <t>Versuch #</t>
  </si>
  <si>
    <t>Anzahl ID Switches</t>
  </si>
  <si>
    <t>Recovery Rate</t>
  </si>
  <si>
    <t>Erfolgreiche Wiedererkennung mit gleicher ID</t>
  </si>
  <si>
    <t>Anzahl Versuche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</si>
</sst>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10FEF355-5A8E-434C-931C-0D812B0305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9.5703125" bestFit="1" customWidth="1"/>
    <col min="2" max="2" width="21.85546875" bestFit="1" customWidth="1"/>
    <col min="3" max="3" width="28" bestFit="1" customWidth="1"/>
    <col min="4" max="4" width="29.28515625" bestFit="1" customWidth="1"/>
    <col min="5" max="5" width="18.85546875" bestFit="1" customWidth="1"/>
    <col min="6" max="6" width="17.85546875" bestFit="1" customWidth="1"/>
    <col min="7" max="7" width="31.5703125" bestFit="1" customWidth="1"/>
  </cols>
  <sheetData>
    <row r="1" spans="1:7" x14ac:dyDescent="0.25">
      <c r="A1" s="1" t="s">
        <v>14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</row>
    <row r="2" spans="1:7" x14ac:dyDescent="0.25">
      <c r="A2">
        <v>1</v>
      </c>
      <c r="B2">
        <v>1</v>
      </c>
      <c r="C2">
        <v>8</v>
      </c>
      <c r="D2">
        <v>10</v>
      </c>
      <c r="E2" t="str">
        <f>IF(C2=D2,"ja","nein")</f>
        <v>nein</v>
      </c>
      <c r="F2" t="str">
        <f>IF(E2="nein", "ja","nein")</f>
        <v>ja</v>
      </c>
      <c r="G2" t="s">
        <v>7</v>
      </c>
    </row>
    <row r="3" spans="1:7" x14ac:dyDescent="0.25">
      <c r="A3">
        <v>2</v>
      </c>
      <c r="B3">
        <v>1</v>
      </c>
      <c r="C3">
        <v>10</v>
      </c>
      <c r="D3">
        <v>10</v>
      </c>
      <c r="E3" t="str">
        <f t="shared" ref="E3:E11" si="0">IF(C3=D3,"ja","nein")</f>
        <v>ja</v>
      </c>
      <c r="F3" t="str">
        <f t="shared" ref="F3:F11" si="1">IF(E3="nein", "ja","nein")</f>
        <v>nein</v>
      </c>
      <c r="G3" t="s">
        <v>7</v>
      </c>
    </row>
    <row r="4" spans="1:7" x14ac:dyDescent="0.25">
      <c r="A4">
        <v>3</v>
      </c>
      <c r="B4">
        <v>1</v>
      </c>
      <c r="C4">
        <v>10</v>
      </c>
      <c r="D4">
        <v>10</v>
      </c>
      <c r="E4" t="str">
        <f t="shared" si="0"/>
        <v>ja</v>
      </c>
      <c r="F4" t="str">
        <f t="shared" si="1"/>
        <v>nein</v>
      </c>
      <c r="G4" t="s">
        <v>7</v>
      </c>
    </row>
    <row r="5" spans="1:7" x14ac:dyDescent="0.25">
      <c r="A5">
        <v>4</v>
      </c>
      <c r="B5">
        <v>1</v>
      </c>
      <c r="C5">
        <v>10</v>
      </c>
      <c r="D5">
        <v>10</v>
      </c>
      <c r="E5" t="str">
        <f t="shared" si="0"/>
        <v>ja</v>
      </c>
      <c r="F5" t="str">
        <f t="shared" si="1"/>
        <v>nein</v>
      </c>
      <c r="G5" t="s">
        <v>7</v>
      </c>
    </row>
    <row r="6" spans="1:7" x14ac:dyDescent="0.25">
      <c r="A6">
        <v>5</v>
      </c>
      <c r="B6">
        <v>1</v>
      </c>
      <c r="C6">
        <v>10</v>
      </c>
      <c r="D6">
        <v>10</v>
      </c>
      <c r="E6" t="str">
        <f t="shared" si="0"/>
        <v>ja</v>
      </c>
      <c r="F6" t="str">
        <f t="shared" si="1"/>
        <v>nein</v>
      </c>
      <c r="G6" t="s">
        <v>7</v>
      </c>
    </row>
    <row r="7" spans="1:7" x14ac:dyDescent="0.25">
      <c r="A7">
        <v>6</v>
      </c>
      <c r="B7">
        <v>1</v>
      </c>
      <c r="C7">
        <v>10</v>
      </c>
      <c r="D7">
        <v>10</v>
      </c>
      <c r="E7" t="str">
        <f t="shared" si="0"/>
        <v>ja</v>
      </c>
      <c r="F7" t="str">
        <f t="shared" si="1"/>
        <v>nein</v>
      </c>
      <c r="G7" t="s">
        <v>7</v>
      </c>
    </row>
    <row r="8" spans="1:7" x14ac:dyDescent="0.25">
      <c r="A8">
        <v>7</v>
      </c>
      <c r="B8">
        <v>1</v>
      </c>
      <c r="C8">
        <v>10</v>
      </c>
      <c r="D8">
        <v>10</v>
      </c>
      <c r="E8" t="str">
        <f t="shared" si="0"/>
        <v>ja</v>
      </c>
      <c r="F8" t="str">
        <f t="shared" si="1"/>
        <v>nein</v>
      </c>
      <c r="G8" t="s">
        <v>7</v>
      </c>
    </row>
    <row r="9" spans="1:7" x14ac:dyDescent="0.25">
      <c r="A9">
        <v>8</v>
      </c>
      <c r="B9">
        <v>1</v>
      </c>
      <c r="C9">
        <v>10</v>
      </c>
      <c r="D9">
        <v>10</v>
      </c>
      <c r="E9" t="str">
        <f t="shared" si="0"/>
        <v>ja</v>
      </c>
      <c r="F9" t="str">
        <f t="shared" si="1"/>
        <v>nein</v>
      </c>
      <c r="G9" t="s">
        <v>7</v>
      </c>
    </row>
    <row r="10" spans="1:7" x14ac:dyDescent="0.25">
      <c r="A10">
        <v>9</v>
      </c>
      <c r="B10">
        <v>1</v>
      </c>
      <c r="C10">
        <v>10</v>
      </c>
      <c r="D10">
        <v>13</v>
      </c>
      <c r="E10" t="str">
        <f t="shared" si="0"/>
        <v>nein</v>
      </c>
      <c r="F10" t="str">
        <f t="shared" si="1"/>
        <v>ja</v>
      </c>
      <c r="G10" t="s">
        <v>7</v>
      </c>
    </row>
    <row r="11" spans="1:7" x14ac:dyDescent="0.25">
      <c r="A11">
        <v>10</v>
      </c>
      <c r="B11">
        <v>1</v>
      </c>
      <c r="C11">
        <v>13</v>
      </c>
      <c r="D11">
        <v>13</v>
      </c>
      <c r="E11" t="str">
        <f t="shared" si="0"/>
        <v>ja</v>
      </c>
      <c r="F11" t="str">
        <f t="shared" si="1"/>
        <v>nein</v>
      </c>
      <c r="G11" t="s">
        <v>7</v>
      </c>
    </row>
    <row r="13" spans="1:7" x14ac:dyDescent="0.25">
      <c r="A13" s="1" t="s">
        <v>14</v>
      </c>
      <c r="B13" s="1" t="s">
        <v>0</v>
      </c>
      <c r="C13" s="1" t="s">
        <v>8</v>
      </c>
      <c r="D13" s="1" t="s">
        <v>10</v>
      </c>
      <c r="E13" s="1" t="s">
        <v>1</v>
      </c>
      <c r="F13" s="1" t="s">
        <v>2</v>
      </c>
      <c r="G13" s="1" t="s">
        <v>3</v>
      </c>
    </row>
    <row r="14" spans="1:7" x14ac:dyDescent="0.25">
      <c r="A14">
        <v>1</v>
      </c>
      <c r="B14">
        <v>1</v>
      </c>
      <c r="C14">
        <v>0</v>
      </c>
      <c r="D14">
        <v>0</v>
      </c>
      <c r="E14" t="str">
        <f>IF(C14=D14,"ja","nein")</f>
        <v>ja</v>
      </c>
      <c r="F14" t="str">
        <f>IF(E14="nein", "ja","nein")</f>
        <v>nein</v>
      </c>
      <c r="G14" t="s">
        <v>9</v>
      </c>
    </row>
    <row r="15" spans="1:7" x14ac:dyDescent="0.25">
      <c r="A15">
        <v>2</v>
      </c>
      <c r="B15">
        <v>1</v>
      </c>
      <c r="C15">
        <v>0</v>
      </c>
      <c r="D15">
        <v>0</v>
      </c>
      <c r="E15" t="str">
        <f t="shared" ref="E15:E23" si="2">IF(C15=D15,"ja","nein")</f>
        <v>ja</v>
      </c>
      <c r="F15" t="str">
        <f t="shared" ref="F15:F23" si="3">IF(E15="nein", "ja","nein")</f>
        <v>nein</v>
      </c>
      <c r="G15" t="s">
        <v>9</v>
      </c>
    </row>
    <row r="16" spans="1:7" x14ac:dyDescent="0.25">
      <c r="A16">
        <v>3</v>
      </c>
      <c r="B16">
        <v>1</v>
      </c>
      <c r="C16">
        <v>0</v>
      </c>
      <c r="D16">
        <v>0</v>
      </c>
      <c r="E16" t="str">
        <f t="shared" si="2"/>
        <v>ja</v>
      </c>
      <c r="F16" t="str">
        <f t="shared" si="3"/>
        <v>nein</v>
      </c>
      <c r="G16" t="s">
        <v>9</v>
      </c>
    </row>
    <row r="17" spans="1:7" x14ac:dyDescent="0.25">
      <c r="A17">
        <v>4</v>
      </c>
      <c r="B17">
        <v>1</v>
      </c>
      <c r="C17">
        <v>0</v>
      </c>
      <c r="D17">
        <v>0</v>
      </c>
      <c r="E17" t="str">
        <f t="shared" si="2"/>
        <v>ja</v>
      </c>
      <c r="F17" t="str">
        <f t="shared" si="3"/>
        <v>nein</v>
      </c>
      <c r="G17" t="s">
        <v>9</v>
      </c>
    </row>
    <row r="18" spans="1:7" x14ac:dyDescent="0.25">
      <c r="A18">
        <v>5</v>
      </c>
      <c r="B18">
        <v>1</v>
      </c>
      <c r="C18">
        <v>0</v>
      </c>
      <c r="D18">
        <v>0</v>
      </c>
      <c r="E18" t="str">
        <f t="shared" si="2"/>
        <v>ja</v>
      </c>
      <c r="F18" t="str">
        <f t="shared" si="3"/>
        <v>nein</v>
      </c>
      <c r="G18" t="s">
        <v>9</v>
      </c>
    </row>
    <row r="19" spans="1:7" x14ac:dyDescent="0.25">
      <c r="A19">
        <v>6</v>
      </c>
      <c r="B19">
        <v>1</v>
      </c>
      <c r="C19">
        <v>0</v>
      </c>
      <c r="D19">
        <v>5</v>
      </c>
      <c r="E19" t="str">
        <f t="shared" si="2"/>
        <v>nein</v>
      </c>
      <c r="F19" t="str">
        <f t="shared" si="3"/>
        <v>ja</v>
      </c>
      <c r="G19" t="s">
        <v>9</v>
      </c>
    </row>
    <row r="20" spans="1:7" x14ac:dyDescent="0.25">
      <c r="A20">
        <v>7</v>
      </c>
      <c r="B20">
        <v>1</v>
      </c>
      <c r="C20">
        <v>5</v>
      </c>
      <c r="D20">
        <v>6</v>
      </c>
      <c r="E20" t="str">
        <f t="shared" si="2"/>
        <v>nein</v>
      </c>
      <c r="F20" t="str">
        <f t="shared" si="3"/>
        <v>ja</v>
      </c>
      <c r="G20" t="s">
        <v>9</v>
      </c>
    </row>
    <row r="21" spans="1:7" x14ac:dyDescent="0.25">
      <c r="A21">
        <v>8</v>
      </c>
      <c r="B21">
        <v>1</v>
      </c>
      <c r="C21">
        <v>6</v>
      </c>
      <c r="D21">
        <v>6</v>
      </c>
      <c r="E21" t="str">
        <f t="shared" si="2"/>
        <v>ja</v>
      </c>
      <c r="F21" t="str">
        <f t="shared" si="3"/>
        <v>nein</v>
      </c>
      <c r="G21" t="s">
        <v>9</v>
      </c>
    </row>
    <row r="22" spans="1:7" x14ac:dyDescent="0.25">
      <c r="A22">
        <v>9</v>
      </c>
      <c r="B22">
        <v>1</v>
      </c>
      <c r="C22">
        <v>6</v>
      </c>
      <c r="D22">
        <v>6</v>
      </c>
      <c r="E22" t="str">
        <f t="shared" si="2"/>
        <v>ja</v>
      </c>
      <c r="F22" t="str">
        <f t="shared" si="3"/>
        <v>nein</v>
      </c>
      <c r="G22" t="s">
        <v>9</v>
      </c>
    </row>
    <row r="23" spans="1:7" x14ac:dyDescent="0.25">
      <c r="A23">
        <v>10</v>
      </c>
      <c r="B23">
        <v>1</v>
      </c>
      <c r="C23">
        <v>6</v>
      </c>
      <c r="D23">
        <v>9</v>
      </c>
      <c r="E23" t="str">
        <f t="shared" si="2"/>
        <v>nein</v>
      </c>
      <c r="F23" t="str">
        <f t="shared" si="3"/>
        <v>ja</v>
      </c>
      <c r="G2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44.7109375" bestFit="1" customWidth="1"/>
    <col min="2" max="2" width="5.5703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18</v>
      </c>
      <c r="B2">
        <v>20</v>
      </c>
    </row>
    <row r="3" spans="1:2" x14ac:dyDescent="0.25">
      <c r="A3" t="s">
        <v>17</v>
      </c>
      <c r="B3">
        <f>COUNTIF(Versuche!E:E,"ja")</f>
        <v>15</v>
      </c>
    </row>
    <row r="4" spans="1:2" x14ac:dyDescent="0.25">
      <c r="A4" t="s">
        <v>6</v>
      </c>
      <c r="B4">
        <f>B2-B3</f>
        <v>5</v>
      </c>
    </row>
    <row r="5" spans="1:2" x14ac:dyDescent="0.25">
      <c r="A5" t="s">
        <v>16</v>
      </c>
      <c r="B5">
        <f>B3/B2</f>
        <v>0.75</v>
      </c>
    </row>
    <row r="6" spans="1:2" x14ac:dyDescent="0.25">
      <c r="A6" t="s">
        <v>15</v>
      </c>
      <c r="B6">
        <f>COUNTIF(Versuche!F:F,"ja")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Versuche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 La</cp:lastModifiedBy>
  <dcterms:created xsi:type="dcterms:W3CDTF">2026-04-24T08:46:24Z</dcterms:created>
  <dcterms:modified xsi:type="dcterms:W3CDTF">2026-04-24T12:49:10Z</dcterms:modified>
</cp:coreProperties>
</file>