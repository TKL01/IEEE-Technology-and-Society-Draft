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s\IEEE-Technology-and-Society-Draft\surveyux\"/>
    </mc:Choice>
  </mc:AlternateContent>
  <xr:revisionPtr revIDLastSave="0" documentId="13_ncr:1_{3DD16858-9C13-4893-B24F-376A4B374C01}" xr6:coauthVersionLast="47" xr6:coauthVersionMax="47" xr10:uidLastSave="{00000000-0000-0000-0000-000000000000}"/>
  <bookViews>
    <workbookView xWindow="30660" yWindow="1830" windowWidth="21600" windowHeight="11385" activeTab="2" xr2:uid="{D8488B4A-5A4F-4189-8080-6FE281BAE78B}"/>
  </bookViews>
  <sheets>
    <sheet name="Likert Scale" sheetId="1" r:id="rId1"/>
    <sheet name="Qualitative Questions (open Qs)" sheetId="2" r:id="rId2"/>
    <sheet name="Observer Stud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B17" i="1"/>
  <c r="B16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</calcChain>
</file>

<file path=xl/sharedStrings.xml><?xml version="1.0" encoding="utf-8"?>
<sst xmlns="http://schemas.openxmlformats.org/spreadsheetml/2006/main" count="121" uniqueCount="85">
  <si>
    <t>N = 7</t>
  </si>
  <si>
    <t>P1</t>
  </si>
  <si>
    <t>P2</t>
  </si>
  <si>
    <t>P3</t>
  </si>
  <si>
    <t>P4</t>
  </si>
  <si>
    <t>P5</t>
  </si>
  <si>
    <t>P6</t>
  </si>
  <si>
    <t>P7</t>
  </si>
  <si>
    <t>Q1</t>
  </si>
  <si>
    <t>Q2</t>
  </si>
  <si>
    <t>Q4</t>
  </si>
  <si>
    <t>Q5</t>
  </si>
  <si>
    <t>Q7</t>
  </si>
  <si>
    <t>Q8</t>
  </si>
  <si>
    <t>Q9</t>
  </si>
  <si>
    <t>Q3*</t>
  </si>
  <si>
    <t>Q6*</t>
  </si>
  <si>
    <t>Q10: Strengths</t>
  </si>
  <si>
    <t>Q11: Improvements</t>
  </si>
  <si>
    <t>n/a</t>
  </si>
  <si>
    <t>driving around curves</t>
  </si>
  <si>
    <t>Q12: Suggestions for addiotional features</t>
  </si>
  <si>
    <t>curve sensitivity</t>
  </si>
  <si>
    <t>Integration of robotic arm; 180° turn command</t>
  </si>
  <si>
    <t>fast reaction; precision</t>
  </si>
  <si>
    <t>easy-to-understand interface; cleanly maintained distance</t>
  </si>
  <si>
    <t>precise</t>
  </si>
  <si>
    <t>object detection; precision</t>
  </si>
  <si>
    <t>optimization of Re-ID</t>
  </si>
  <si>
    <t>reverse function</t>
  </si>
  <si>
    <t>quick reaction to movements</t>
  </si>
  <si>
    <t>detection of obstacles</t>
  </si>
  <si>
    <t>see Q11</t>
  </si>
  <si>
    <t>clear interface</t>
  </si>
  <si>
    <t>instructions for using the voice command</t>
  </si>
  <si>
    <t>Likert scale: 1 to 5</t>
  </si>
  <si>
    <t>Participant</t>
  </si>
  <si>
    <r>
      <t xml:space="preserve">mean </t>
    </r>
    <r>
      <rPr>
        <b/>
        <i/>
        <sz val="12"/>
        <color theme="1"/>
        <rFont val="Arial"/>
        <family val="2"/>
      </rPr>
      <t>M</t>
    </r>
  </si>
  <si>
    <r>
      <t xml:space="preserve">standard deviation </t>
    </r>
    <r>
      <rPr>
        <b/>
        <i/>
        <sz val="12"/>
        <color theme="1"/>
        <rFont val="Arial"/>
        <family val="2"/>
      </rPr>
      <t>SD</t>
    </r>
  </si>
  <si>
    <t>P8</t>
  </si>
  <si>
    <t>P9</t>
  </si>
  <si>
    <t>P10</t>
  </si>
  <si>
    <t>intuitive controls</t>
  </si>
  <si>
    <t>faster response times (voice to motion)</t>
  </si>
  <si>
    <t>multiple languages, interoperability WWW/IOT/IIOT</t>
  </si>
  <si>
    <t>Interrobot cumminication, (voice) signal loss, multimodal communication</t>
  </si>
  <si>
    <t>environment recognition, semantic functionalities,fast reaction times, GUI</t>
  </si>
  <si>
    <t>N = 10</t>
  </si>
  <si>
    <t>N = 9</t>
  </si>
  <si>
    <t>Only qualitative Questions</t>
  </si>
  <si>
    <t>natural conversation</t>
  </si>
  <si>
    <t>dynamic and safe</t>
  </si>
  <si>
    <t>(retirement) home, shopping, industry</t>
  </si>
  <si>
    <t>Age</t>
  </si>
  <si>
    <t>Gender</t>
  </si>
  <si>
    <t>m</t>
  </si>
  <si>
    <t>f</t>
  </si>
  <si>
    <t>accessible to people with no prior knowledge</t>
  </si>
  <si>
    <t>perceived to follow without issues</t>
  </si>
  <si>
    <t>home, shopping, airport, industry</t>
  </si>
  <si>
    <t>conversational and able to understand</t>
  </si>
  <si>
    <t>robot listens well</t>
  </si>
  <si>
    <t>cleaning and transport</t>
  </si>
  <si>
    <t>perceived reasonable and natural</t>
  </si>
  <si>
    <t>would trust in unfimiliar surroundings</t>
  </si>
  <si>
    <t xml:space="preserve">shoppping, logistics </t>
  </si>
  <si>
    <t>no: possible technical issues</t>
  </si>
  <si>
    <t>transport</t>
  </si>
  <si>
    <t>intuitive and natural</t>
  </si>
  <si>
    <t>yes: technological progress</t>
  </si>
  <si>
    <t>like a conversation with another human</t>
  </si>
  <si>
    <t>yes</t>
  </si>
  <si>
    <t>(heavy) transport</t>
  </si>
  <si>
    <t>add language options</t>
  </si>
  <si>
    <t xml:space="preserve">smart navigation, but wheeled robot not suitable for every environment </t>
  </si>
  <si>
    <t xml:space="preserve">stroller or transport (tools) in agriculture/gardening </t>
  </si>
  <si>
    <t>safety-aware and trustworthy</t>
  </si>
  <si>
    <t>Farming and last mile delivery</t>
  </si>
  <si>
    <t>smoothness of the navigation</t>
  </si>
  <si>
    <t>good: identification of static obstacles; questionable: dynamic obstacles?</t>
  </si>
  <si>
    <t>carriying luggage</t>
  </si>
  <si>
    <t>System trust</t>
  </si>
  <si>
    <t>Interaction quality</t>
  </si>
  <si>
    <t>Practical utility</t>
  </si>
  <si>
    <t>Mean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</si>
</sst>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47BABF75-36B1-44DB-ADDA-BB01E8BF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4A67-C47C-4C55-8D0A-24A0F0423417}">
  <dimension ref="A1:J17"/>
  <sheetViews>
    <sheetView topLeftCell="A4" zoomScale="112" zoomScaleNormal="112" workbookViewId="0">
      <selection activeCell="B16" sqref="B16"/>
    </sheetView>
  </sheetViews>
  <sheetFormatPr baseColWidth="10" defaultRowHeight="15" x14ac:dyDescent="0.2"/>
  <cols>
    <col min="1" max="1" width="20.33203125" bestFit="1" customWidth="1"/>
  </cols>
  <sheetData>
    <row r="1" spans="1:10" x14ac:dyDescent="0.2">
      <c r="A1" t="s">
        <v>35</v>
      </c>
    </row>
    <row r="2" spans="1:10" x14ac:dyDescent="0.2">
      <c r="A2" t="s">
        <v>0</v>
      </c>
    </row>
    <row r="4" spans="1:10" ht="15.75" x14ac:dyDescent="0.25">
      <c r="A4" s="1" t="s">
        <v>36</v>
      </c>
      <c r="B4" s="1" t="s">
        <v>8</v>
      </c>
      <c r="C4" s="1" t="s">
        <v>9</v>
      </c>
      <c r="D4" s="1" t="s">
        <v>15</v>
      </c>
      <c r="E4" s="1" t="s">
        <v>10</v>
      </c>
      <c r="F4" s="1" t="s">
        <v>11</v>
      </c>
      <c r="G4" s="1" t="s">
        <v>16</v>
      </c>
      <c r="H4" s="1" t="s">
        <v>12</v>
      </c>
      <c r="I4" s="1" t="s">
        <v>13</v>
      </c>
      <c r="J4" s="1" t="s">
        <v>14</v>
      </c>
    </row>
    <row r="5" spans="1:10" x14ac:dyDescent="0.2">
      <c r="A5" t="s">
        <v>1</v>
      </c>
      <c r="B5">
        <v>4</v>
      </c>
      <c r="C5">
        <v>4</v>
      </c>
      <c r="D5">
        <v>3</v>
      </c>
      <c r="E5">
        <v>5</v>
      </c>
      <c r="F5">
        <v>4</v>
      </c>
      <c r="G5">
        <v>1</v>
      </c>
      <c r="H5">
        <v>4</v>
      </c>
      <c r="I5">
        <v>5</v>
      </c>
      <c r="J5">
        <v>4</v>
      </c>
    </row>
    <row r="6" spans="1:10" x14ac:dyDescent="0.2">
      <c r="A6" t="s">
        <v>2</v>
      </c>
      <c r="B6">
        <v>4</v>
      </c>
      <c r="C6">
        <v>4</v>
      </c>
      <c r="D6">
        <v>3</v>
      </c>
      <c r="E6">
        <v>5</v>
      </c>
      <c r="F6">
        <v>5</v>
      </c>
      <c r="G6">
        <v>1</v>
      </c>
      <c r="H6">
        <v>4</v>
      </c>
      <c r="I6">
        <v>5</v>
      </c>
      <c r="J6">
        <v>4</v>
      </c>
    </row>
    <row r="7" spans="1:10" x14ac:dyDescent="0.2">
      <c r="A7" t="s">
        <v>3</v>
      </c>
      <c r="B7">
        <v>5</v>
      </c>
      <c r="C7">
        <v>5</v>
      </c>
      <c r="D7">
        <v>1</v>
      </c>
      <c r="E7">
        <v>4</v>
      </c>
      <c r="F7">
        <v>5</v>
      </c>
      <c r="G7">
        <v>2</v>
      </c>
      <c r="H7">
        <v>5</v>
      </c>
      <c r="I7">
        <v>5</v>
      </c>
      <c r="J7">
        <v>5</v>
      </c>
    </row>
    <row r="8" spans="1:10" x14ac:dyDescent="0.2">
      <c r="A8" t="s">
        <v>4</v>
      </c>
      <c r="B8">
        <v>5</v>
      </c>
      <c r="C8">
        <v>5</v>
      </c>
      <c r="D8">
        <v>1</v>
      </c>
      <c r="E8">
        <v>5</v>
      </c>
      <c r="F8">
        <v>5</v>
      </c>
      <c r="G8">
        <v>2</v>
      </c>
      <c r="H8">
        <v>5</v>
      </c>
      <c r="I8">
        <v>5</v>
      </c>
      <c r="J8">
        <v>5</v>
      </c>
    </row>
    <row r="9" spans="1:10" x14ac:dyDescent="0.2">
      <c r="A9" t="s">
        <v>5</v>
      </c>
      <c r="B9">
        <v>5</v>
      </c>
      <c r="C9">
        <v>5</v>
      </c>
      <c r="E9">
        <v>4</v>
      </c>
      <c r="F9">
        <v>5</v>
      </c>
      <c r="G9">
        <v>1</v>
      </c>
      <c r="H9">
        <v>5</v>
      </c>
      <c r="I9">
        <v>5</v>
      </c>
      <c r="J9">
        <v>5</v>
      </c>
    </row>
    <row r="10" spans="1:10" x14ac:dyDescent="0.2">
      <c r="A10" t="s">
        <v>6</v>
      </c>
      <c r="B10">
        <v>5</v>
      </c>
      <c r="C10">
        <v>5</v>
      </c>
      <c r="D10">
        <v>1</v>
      </c>
      <c r="E10">
        <v>5</v>
      </c>
      <c r="F10">
        <v>5</v>
      </c>
      <c r="G10">
        <v>1</v>
      </c>
      <c r="H10">
        <v>4</v>
      </c>
      <c r="I10">
        <v>4</v>
      </c>
      <c r="J10">
        <v>5</v>
      </c>
    </row>
    <row r="11" spans="1:10" x14ac:dyDescent="0.2">
      <c r="A11" t="s">
        <v>7</v>
      </c>
      <c r="B11">
        <v>5</v>
      </c>
      <c r="C11">
        <v>4</v>
      </c>
      <c r="D11">
        <v>2</v>
      </c>
      <c r="E11">
        <v>5</v>
      </c>
      <c r="F11">
        <v>4</v>
      </c>
      <c r="G11">
        <v>3</v>
      </c>
      <c r="H11">
        <v>4</v>
      </c>
      <c r="I11">
        <v>4</v>
      </c>
      <c r="J11">
        <v>3</v>
      </c>
    </row>
    <row r="12" spans="1:10" x14ac:dyDescent="0.2">
      <c r="A12" t="s">
        <v>39</v>
      </c>
      <c r="B12" s="3">
        <v>4</v>
      </c>
      <c r="C12" s="3">
        <v>5</v>
      </c>
      <c r="D12" s="3">
        <v>1</v>
      </c>
      <c r="E12" s="3">
        <v>5</v>
      </c>
      <c r="F12" s="3">
        <v>4</v>
      </c>
      <c r="G12" s="3">
        <v>1</v>
      </c>
      <c r="H12" s="3">
        <v>5</v>
      </c>
      <c r="I12" s="3">
        <v>5</v>
      </c>
      <c r="J12" s="3">
        <v>2</v>
      </c>
    </row>
    <row r="13" spans="1:10" x14ac:dyDescent="0.2">
      <c r="A13" t="s">
        <v>40</v>
      </c>
      <c r="B13" s="3">
        <v>5</v>
      </c>
      <c r="C13" s="3">
        <v>4</v>
      </c>
      <c r="D13" s="3">
        <v>2</v>
      </c>
      <c r="E13" s="3">
        <v>5</v>
      </c>
      <c r="F13" s="3">
        <v>4</v>
      </c>
      <c r="G13" s="3">
        <v>2</v>
      </c>
      <c r="H13" s="3">
        <v>5</v>
      </c>
      <c r="I13" s="3">
        <v>4</v>
      </c>
      <c r="J13" s="3">
        <v>5</v>
      </c>
    </row>
    <row r="14" spans="1:10" x14ac:dyDescent="0.2">
      <c r="A14" t="s">
        <v>41</v>
      </c>
      <c r="B14" s="3"/>
      <c r="C14" s="3"/>
      <c r="D14" s="3"/>
      <c r="E14" s="3"/>
      <c r="F14" s="3"/>
      <c r="G14" s="3"/>
      <c r="H14" s="3"/>
      <c r="I14" s="3"/>
      <c r="J14" s="3"/>
    </row>
    <row r="16" spans="1:10" ht="15.75" x14ac:dyDescent="0.25">
      <c r="A16" s="1" t="s">
        <v>37</v>
      </c>
      <c r="B16" s="2">
        <f>AVERAGE(B5:B14)</f>
        <v>4.666666666666667</v>
      </c>
      <c r="C16" s="2">
        <f t="shared" ref="C16:J16" si="0">AVERAGE(C5:C14)</f>
        <v>4.5555555555555554</v>
      </c>
      <c r="D16" s="2">
        <f t="shared" si="0"/>
        <v>1.75</v>
      </c>
      <c r="E16" s="2">
        <f t="shared" si="0"/>
        <v>4.7777777777777777</v>
      </c>
      <c r="F16" s="2">
        <f t="shared" si="0"/>
        <v>4.5555555555555554</v>
      </c>
      <c r="G16" s="2">
        <f t="shared" si="0"/>
        <v>1.5555555555555556</v>
      </c>
      <c r="H16" s="2">
        <f t="shared" si="0"/>
        <v>4.5555555555555554</v>
      </c>
      <c r="I16" s="2">
        <f t="shared" si="0"/>
        <v>4.666666666666667</v>
      </c>
      <c r="J16" s="2">
        <f t="shared" si="0"/>
        <v>4.2222222222222223</v>
      </c>
    </row>
    <row r="17" spans="1:10" ht="15.75" x14ac:dyDescent="0.25">
      <c r="A17" s="1" t="s">
        <v>38</v>
      </c>
      <c r="B17" s="2">
        <f>_xlfn.STDEV.S(B5:B14)</f>
        <v>0.5</v>
      </c>
      <c r="C17" s="2">
        <f t="shared" ref="C17:J17" si="1">_xlfn.STDEV.S(C5:C14)</f>
        <v>0.52704627669473059</v>
      </c>
      <c r="D17" s="2">
        <f t="shared" si="1"/>
        <v>0.88640526042791834</v>
      </c>
      <c r="E17" s="2">
        <f t="shared" si="1"/>
        <v>0.44095855184409838</v>
      </c>
      <c r="F17" s="2">
        <f t="shared" si="1"/>
        <v>0.52704627669473059</v>
      </c>
      <c r="G17" s="2">
        <f t="shared" si="1"/>
        <v>0.72648315725677881</v>
      </c>
      <c r="H17" s="2">
        <f t="shared" si="1"/>
        <v>0.52704627669473059</v>
      </c>
      <c r="I17" s="2">
        <f t="shared" si="1"/>
        <v>0.5</v>
      </c>
      <c r="J17" s="2">
        <f t="shared" si="1"/>
        <v>1.0929064207169994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12C1-567F-4693-910A-8AC58E4581FB}">
  <dimension ref="A4:D13"/>
  <sheetViews>
    <sheetView workbookViewId="0">
      <selection activeCell="B18" sqref="B18"/>
    </sheetView>
  </sheetViews>
  <sheetFormatPr baseColWidth="10" defaultRowHeight="15" x14ac:dyDescent="0.2"/>
  <cols>
    <col min="2" max="2" width="57.44140625" bestFit="1" customWidth="1"/>
    <col min="3" max="3" width="40.109375" bestFit="1" customWidth="1"/>
    <col min="4" max="4" width="56.6640625" bestFit="1" customWidth="1"/>
  </cols>
  <sheetData>
    <row r="4" spans="1:4" ht="15.75" x14ac:dyDescent="0.25">
      <c r="A4" s="1" t="s">
        <v>48</v>
      </c>
      <c r="B4" s="1" t="s">
        <v>17</v>
      </c>
      <c r="C4" s="1" t="s">
        <v>18</v>
      </c>
      <c r="D4" s="1" t="s">
        <v>21</v>
      </c>
    </row>
    <row r="5" spans="1:4" x14ac:dyDescent="0.2">
      <c r="A5" t="s">
        <v>1</v>
      </c>
      <c r="B5" t="s">
        <v>26</v>
      </c>
      <c r="C5" t="s">
        <v>20</v>
      </c>
      <c r="D5" t="s">
        <v>19</v>
      </c>
    </row>
    <row r="6" spans="1:4" x14ac:dyDescent="0.2">
      <c r="A6" t="s">
        <v>2</v>
      </c>
      <c r="B6" t="s">
        <v>24</v>
      </c>
      <c r="C6" t="s">
        <v>22</v>
      </c>
      <c r="D6" t="s">
        <v>23</v>
      </c>
    </row>
    <row r="7" spans="1:4" x14ac:dyDescent="0.2">
      <c r="A7" t="s">
        <v>3</v>
      </c>
      <c r="B7" t="s">
        <v>25</v>
      </c>
      <c r="C7" t="s">
        <v>19</v>
      </c>
      <c r="D7" t="s">
        <v>19</v>
      </c>
    </row>
    <row r="8" spans="1:4" x14ac:dyDescent="0.2">
      <c r="A8" t="s">
        <v>4</v>
      </c>
      <c r="B8" t="s">
        <v>27</v>
      </c>
      <c r="C8" t="s">
        <v>28</v>
      </c>
      <c r="D8" t="s">
        <v>29</v>
      </c>
    </row>
    <row r="9" spans="1:4" x14ac:dyDescent="0.2">
      <c r="A9" t="s">
        <v>5</v>
      </c>
      <c r="B9" t="s">
        <v>30</v>
      </c>
      <c r="C9" t="s">
        <v>31</v>
      </c>
      <c r="D9" t="s">
        <v>32</v>
      </c>
    </row>
    <row r="10" spans="1:4" x14ac:dyDescent="0.2">
      <c r="A10" t="s">
        <v>6</v>
      </c>
      <c r="B10" t="s">
        <v>33</v>
      </c>
      <c r="C10" t="s">
        <v>34</v>
      </c>
      <c r="D10" t="s">
        <v>19</v>
      </c>
    </row>
    <row r="11" spans="1:4" x14ac:dyDescent="0.2">
      <c r="A11" t="s">
        <v>7</v>
      </c>
      <c r="B11" t="s">
        <v>19</v>
      </c>
      <c r="C11" t="s">
        <v>19</v>
      </c>
      <c r="D11" t="s">
        <v>19</v>
      </c>
    </row>
    <row r="12" spans="1:4" x14ac:dyDescent="0.2">
      <c r="A12" t="s">
        <v>39</v>
      </c>
      <c r="B12" t="s">
        <v>42</v>
      </c>
      <c r="C12" t="s">
        <v>43</v>
      </c>
    </row>
    <row r="13" spans="1:4" x14ac:dyDescent="0.2">
      <c r="A13" t="s">
        <v>40</v>
      </c>
      <c r="B13" t="s">
        <v>46</v>
      </c>
      <c r="C13" t="s">
        <v>44</v>
      </c>
      <c r="D13" t="s">
        <v>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A048-D6A6-4128-B039-7001D4F3C02C}">
  <dimension ref="A3:G19"/>
  <sheetViews>
    <sheetView tabSelected="1" workbookViewId="0">
      <selection activeCell="D19" sqref="D19"/>
    </sheetView>
  </sheetViews>
  <sheetFormatPr baseColWidth="10" defaultRowHeight="15" x14ac:dyDescent="0.2"/>
  <cols>
    <col min="1" max="1" width="20.88671875" bestFit="1" customWidth="1"/>
    <col min="2" max="2" width="16.44140625" bestFit="1" customWidth="1"/>
    <col min="3" max="3" width="14.5546875" bestFit="1" customWidth="1"/>
    <col min="4" max="4" width="36" bestFit="1" customWidth="1"/>
    <col min="5" max="5" width="58" bestFit="1" customWidth="1"/>
    <col min="6" max="6" width="40" bestFit="1" customWidth="1"/>
    <col min="7" max="7" width="29.77734375" bestFit="1" customWidth="1"/>
  </cols>
  <sheetData>
    <row r="3" spans="1:7" x14ac:dyDescent="0.2">
      <c r="A3" t="s">
        <v>49</v>
      </c>
    </row>
    <row r="6" spans="1:7" ht="15.75" x14ac:dyDescent="0.25">
      <c r="A6" s="1" t="s">
        <v>47</v>
      </c>
      <c r="B6" s="4" t="s">
        <v>54</v>
      </c>
      <c r="C6" s="4" t="s">
        <v>53</v>
      </c>
      <c r="D6" s="1" t="s">
        <v>82</v>
      </c>
      <c r="E6" s="1" t="s">
        <v>81</v>
      </c>
      <c r="F6" s="1" t="s">
        <v>83</v>
      </c>
      <c r="G6" s="1"/>
    </row>
    <row r="7" spans="1:7" x14ac:dyDescent="0.2">
      <c r="A7" t="s">
        <v>1</v>
      </c>
      <c r="B7" s="5" t="s">
        <v>55</v>
      </c>
      <c r="C7" s="5">
        <v>40</v>
      </c>
      <c r="D7" t="s">
        <v>50</v>
      </c>
      <c r="E7" t="s">
        <v>51</v>
      </c>
      <c r="F7" t="s">
        <v>52</v>
      </c>
    </row>
    <row r="8" spans="1:7" x14ac:dyDescent="0.2">
      <c r="A8" t="s">
        <v>2</v>
      </c>
      <c r="B8" s="5" t="s">
        <v>55</v>
      </c>
      <c r="C8" s="5">
        <v>38</v>
      </c>
      <c r="D8" t="s">
        <v>57</v>
      </c>
      <c r="E8" t="s">
        <v>58</v>
      </c>
      <c r="F8" t="s">
        <v>59</v>
      </c>
    </row>
    <row r="9" spans="1:7" x14ac:dyDescent="0.2">
      <c r="A9" t="s">
        <v>3</v>
      </c>
      <c r="B9" s="5" t="s">
        <v>55</v>
      </c>
      <c r="C9" s="5">
        <v>8</v>
      </c>
      <c r="D9" t="s">
        <v>60</v>
      </c>
      <c r="E9" t="s">
        <v>61</v>
      </c>
      <c r="F9" t="s">
        <v>62</v>
      </c>
    </row>
    <row r="10" spans="1:7" x14ac:dyDescent="0.2">
      <c r="A10" t="s">
        <v>4</v>
      </c>
      <c r="B10" s="5" t="s">
        <v>56</v>
      </c>
      <c r="C10" s="5">
        <v>39</v>
      </c>
      <c r="D10" t="s">
        <v>63</v>
      </c>
      <c r="E10" t="s">
        <v>64</v>
      </c>
      <c r="F10" t="s">
        <v>65</v>
      </c>
    </row>
    <row r="11" spans="1:7" x14ac:dyDescent="0.2">
      <c r="A11" t="s">
        <v>5</v>
      </c>
      <c r="B11" s="5" t="s">
        <v>56</v>
      </c>
      <c r="C11" s="5">
        <v>70</v>
      </c>
      <c r="D11" t="s">
        <v>63</v>
      </c>
      <c r="E11" t="s">
        <v>66</v>
      </c>
      <c r="F11" t="s">
        <v>67</v>
      </c>
    </row>
    <row r="12" spans="1:7" x14ac:dyDescent="0.2">
      <c r="A12" t="s">
        <v>6</v>
      </c>
      <c r="B12" s="5" t="s">
        <v>56</v>
      </c>
      <c r="C12" s="5">
        <v>49</v>
      </c>
      <c r="D12" t="s">
        <v>68</v>
      </c>
      <c r="E12" t="s">
        <v>69</v>
      </c>
      <c r="F12" t="s">
        <v>67</v>
      </c>
    </row>
    <row r="13" spans="1:7" x14ac:dyDescent="0.2">
      <c r="A13" t="s">
        <v>7</v>
      </c>
      <c r="B13" s="5" t="s">
        <v>56</v>
      </c>
      <c r="C13" s="5">
        <v>13</v>
      </c>
      <c r="D13" t="s">
        <v>70</v>
      </c>
      <c r="E13" t="s">
        <v>71</v>
      </c>
      <c r="F13" t="s">
        <v>72</v>
      </c>
    </row>
    <row r="14" spans="1:7" x14ac:dyDescent="0.2">
      <c r="A14" t="s">
        <v>39</v>
      </c>
      <c r="B14" s="5" t="s">
        <v>56</v>
      </c>
      <c r="C14" s="5">
        <v>68</v>
      </c>
      <c r="D14" t="s">
        <v>73</v>
      </c>
      <c r="E14" t="s">
        <v>74</v>
      </c>
      <c r="F14" t="s">
        <v>75</v>
      </c>
    </row>
    <row r="15" spans="1:7" x14ac:dyDescent="0.2">
      <c r="A15" t="s">
        <v>40</v>
      </c>
      <c r="B15" s="5" t="s">
        <v>55</v>
      </c>
      <c r="C15" s="5">
        <v>74</v>
      </c>
      <c r="D15" t="s">
        <v>73</v>
      </c>
      <c r="E15" t="s">
        <v>76</v>
      </c>
      <c r="F15" t="s">
        <v>77</v>
      </c>
    </row>
    <row r="16" spans="1:7" x14ac:dyDescent="0.2">
      <c r="A16" t="s">
        <v>41</v>
      </c>
      <c r="B16" s="5" t="s">
        <v>55</v>
      </c>
      <c r="C16" s="5">
        <v>40</v>
      </c>
      <c r="D16" t="s">
        <v>78</v>
      </c>
      <c r="E16" t="s">
        <v>79</v>
      </c>
      <c r="F16" t="s">
        <v>80</v>
      </c>
    </row>
    <row r="18" spans="3:3" ht="15.75" x14ac:dyDescent="0.25">
      <c r="C18" s="1" t="s">
        <v>84</v>
      </c>
    </row>
    <row r="19" spans="3:3" ht="15.75" x14ac:dyDescent="0.25">
      <c r="C19" s="4">
        <f>AVERAGE(C7:C16)</f>
        <v>43.9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Likert Scale</vt:lpstr>
      <vt:lpstr>Qualitative Questions (open Qs)</vt:lpstr>
      <vt:lpstr>Observer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 La</dc:creator>
  <cp:lastModifiedBy>TK La</cp:lastModifiedBy>
  <dcterms:created xsi:type="dcterms:W3CDTF">2026-02-17T19:42:12Z</dcterms:created>
  <dcterms:modified xsi:type="dcterms:W3CDTF">2026-04-03T20:50:34Z</dcterms:modified>
</cp:coreProperties>
</file>